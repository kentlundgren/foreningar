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68e0e598e90526/AI/Claude/ClaudeCowork/KalmarNation/revision/_egen_analys/"/>
    </mc:Choice>
  </mc:AlternateContent>
  <xr:revisionPtr revIDLastSave="273" documentId="8_{CFF8497D-5AC5-4F53-BB79-950D853A1C4A}" xr6:coauthVersionLast="47" xr6:coauthVersionMax="47" xr10:uidLastSave="{02CF813B-3E79-4F75-8CA3-3953FF9EBFF7}"/>
  <bookViews>
    <workbookView xWindow="-28920" yWindow="-120" windowWidth="29040" windowHeight="15720" activeTab="1" xr2:uid="{3C2F71A7-BF18-485F-8BF5-EA2F93EB7B3B}"/>
  </bookViews>
  <sheets>
    <sheet name="Blad1" sheetId="1" r:id="rId1"/>
    <sheet name="260427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3" i="2" l="1"/>
  <c r="N52" i="2"/>
  <c r="N51" i="2"/>
  <c r="H55" i="2"/>
  <c r="F55" i="2"/>
  <c r="F56" i="2"/>
  <c r="D55" i="2"/>
  <c r="D56" i="2" s="1"/>
  <c r="F29" i="2"/>
  <c r="D24" i="2"/>
  <c r="M18" i="2"/>
  <c r="M22" i="2" s="1"/>
  <c r="F12" i="2"/>
  <c r="M11" i="2"/>
  <c r="F10" i="2"/>
  <c r="M7" i="2"/>
  <c r="M18" i="1"/>
  <c r="D24" i="1"/>
  <c r="F29" i="1"/>
  <c r="F12" i="1"/>
  <c r="F10" i="1"/>
  <c r="F18" i="2" l="1"/>
  <c r="F18" i="1"/>
  <c r="D41" i="1" s="1"/>
  <c r="D42" i="1" s="1"/>
  <c r="M11" i="1"/>
  <c r="M7" i="1"/>
  <c r="D41" i="2" l="1"/>
  <c r="D42" i="2" s="1"/>
  <c r="E23" i="2"/>
  <c r="E16" i="2"/>
  <c r="F16" i="2" s="1"/>
  <c r="M22" i="1"/>
  <c r="E16" i="1"/>
  <c r="F16" i="1" s="1"/>
  <c r="E23" i="1"/>
  <c r="E24" i="2" l="1"/>
  <c r="F23" i="2"/>
  <c r="F24" i="2" s="1"/>
  <c r="F31" i="2" s="1"/>
  <c r="F33" i="2" s="1"/>
  <c r="F23" i="1"/>
  <c r="F24" i="1" s="1"/>
  <c r="F31" i="1" s="1"/>
  <c r="F33" i="1" s="1"/>
  <c r="E24" i="1"/>
</calcChain>
</file>

<file path=xl/sharedStrings.xml><?xml version="1.0" encoding="utf-8"?>
<sst xmlns="http://schemas.openxmlformats.org/spreadsheetml/2006/main" count="143" uniqueCount="44">
  <si>
    <t>Resultat efter finansiella poster:</t>
  </si>
  <si>
    <t>se verifikat Y2:</t>
  </si>
  <si>
    <t>Verksamhetens resultat:</t>
  </si>
  <si>
    <t>Finansiella intäkter</t>
  </si>
  <si>
    <t>Finansiella kostnader:</t>
  </si>
  <si>
    <t>Fiktivt beräknat resultat:</t>
  </si>
  <si>
    <t>kr</t>
  </si>
  <si>
    <t>IB</t>
  </si>
  <si>
    <t>förändring</t>
  </si>
  <si>
    <t>UB</t>
  </si>
  <si>
    <t>Summa eget kapital:</t>
  </si>
  <si>
    <t>Beräknat resultat:</t>
  </si>
  <si>
    <t>Jag vill att det egna kapitalet ska öka med resultatet</t>
  </si>
  <si>
    <t>Summa eget kapital och skulder:</t>
  </si>
  <si>
    <t>Övriga skulder:</t>
  </si>
  <si>
    <t>Differnas mot Summa tillgångar (10 055 854 kr):</t>
  </si>
  <si>
    <t>Nu ser skulderna ut så här</t>
  </si>
  <si>
    <t>Kommentar</t>
  </si>
  <si>
    <t>Summa eget kapital, kto 2010:</t>
  </si>
  <si>
    <t>Summa eget kapital (kto 2010 och 2099):</t>
  </si>
  <si>
    <t>Förslag på förändring av eget kapital</t>
  </si>
  <si>
    <t>IB 2025</t>
  </si>
  <si>
    <t>UB 2025</t>
  </si>
  <si>
    <t>Beskrivning</t>
  </si>
  <si>
    <t>Årets överskott</t>
  </si>
  <si>
    <t>Summa disponibelt</t>
  </si>
  <si>
    <t>Belopp (kr)</t>
  </si>
  <si>
    <t>Till förfogande står följande medel:</t>
  </si>
  <si>
    <t>Balanserat överskott (ingående)</t>
  </si>
  <si>
    <t>som är lagerförändringar 2025</t>
  </si>
  <si>
    <t>Rätt resultat 2025 enligt Kent</t>
  </si>
  <si>
    <t>Lagerförändringar:</t>
  </si>
  <si>
    <t>Men resultat är ju 434 975 kr</t>
  </si>
  <si>
    <t>inklusive lagerförändringa om 15 929 kr</t>
  </si>
  <si>
    <t>Årets (2025) resultat, kto 2099:</t>
  </si>
  <si>
    <t xml:space="preserve">Styrelsen föreslår följande disposition: </t>
  </si>
  <si>
    <t>Årets överskott om 434 975 kr överförs i sin helhet till balanserat överskott.</t>
  </si>
  <si>
    <t>FÖRSLAG TILL VINSTDISPOSITION</t>
  </si>
  <si>
    <t>När årsmötet har godkänt dispositionen så bokförs debet konto 2099 Åres resultat 434 975 kr, och kredit konto 2010 summa eget kapital.</t>
  </si>
  <si>
    <t>Skillnad</t>
  </si>
  <si>
    <t>kto 1300:</t>
  </si>
  <si>
    <t>kto 1385:</t>
  </si>
  <si>
    <t>Stiftelsevärdepapper:</t>
  </si>
  <si>
    <t>"financial fixed assets, Securities":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</si>
</sst>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3" fontId="0" fillId="0" borderId="0" xfId="0" applyNumberFormat="1"/>
    <xf numFmtId="0" fontId="1" fillId="0" borderId="0" xfId="0" applyFont="1"/>
    <xf numFmtId="0" fontId="1" fillId="0" borderId="0" xfId="0" applyFont="1" applyAlignment="1">
      <alignment horizontal="right"/>
    </xf>
    <xf numFmtId="3" fontId="1" fillId="0" borderId="0" xfId="0" applyNumberFormat="1" applyFont="1"/>
    <xf numFmtId="0" fontId="2" fillId="2" borderId="0" xfId="0" applyFont="1" applyFill="1"/>
    <xf numFmtId="0" fontId="0" fillId="2" borderId="0" xfId="0" applyFill="1" applyAlignment="1">
      <alignment horizontal="right"/>
    </xf>
    <xf numFmtId="0" fontId="1" fillId="2" borderId="0" xfId="0" applyFont="1" applyFill="1" applyAlignment="1">
      <alignment horizontal="center"/>
    </xf>
    <xf numFmtId="0" fontId="0" fillId="2" borderId="0" xfId="0" applyFill="1"/>
    <xf numFmtId="3" fontId="0" fillId="2" borderId="0" xfId="0" applyNumberFormat="1" applyFill="1"/>
    <xf numFmtId="0" fontId="1" fillId="2" borderId="0" xfId="0" applyFont="1" applyFill="1" applyAlignment="1">
      <alignment horizontal="right"/>
    </xf>
    <xf numFmtId="3" fontId="1" fillId="2" borderId="0" xfId="0" applyNumberFormat="1" applyFont="1" applyFill="1"/>
    <xf numFmtId="0" fontId="1" fillId="2" borderId="0" xfId="0" applyFont="1" applyFill="1"/>
    <xf numFmtId="0" fontId="1" fillId="2" borderId="0" xfId="0" applyFont="1" applyFill="1" applyAlignment="1">
      <alignment horizontal="right" vertical="center"/>
    </xf>
    <xf numFmtId="3" fontId="0" fillId="2" borderId="0" xfId="0" applyNumberFormat="1" applyFill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3" fontId="0" fillId="2" borderId="0" xfId="0" applyNumberFormat="1" applyFill="1" applyAlignment="1">
      <alignment horizontal="right"/>
    </xf>
    <xf numFmtId="0" fontId="0" fillId="2" borderId="0" xfId="0" applyFill="1" applyAlignment="1">
      <alignment horizontal="left" wrapText="1"/>
    </xf>
    <xf numFmtId="0" fontId="3" fillId="2" borderId="0" xfId="0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right" vertical="center"/>
    </xf>
    <xf numFmtId="3" fontId="1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left" wrapText="1"/>
    </xf>
    <xf numFmtId="0" fontId="0" fillId="0" borderId="0" xfId="0" applyAlignment="1">
      <alignment horizontal="left" wrapText="1"/>
    </xf>
    <xf numFmtId="14" fontId="0" fillId="2" borderId="0" xfId="0" applyNumberForma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0D926-ACEA-4DAF-A8D9-1FE06F404D0C}">
  <dimension ref="B3:N45"/>
  <sheetViews>
    <sheetView topLeftCell="A11" workbookViewId="0">
      <selection activeCell="H36" sqref="H36"/>
    </sheetView>
  </sheetViews>
  <sheetFormatPr defaultRowHeight="15" x14ac:dyDescent="0.25"/>
  <cols>
    <col min="3" max="3" width="42.28515625" customWidth="1"/>
    <col min="4" max="4" width="11.42578125" customWidth="1"/>
    <col min="5" max="5" width="14.7109375" customWidth="1"/>
    <col min="6" max="6" width="15.28515625" customWidth="1"/>
    <col min="7" max="7" width="4.7109375" customWidth="1"/>
    <col min="8" max="8" width="43.42578125" customWidth="1"/>
    <col min="13" max="13" width="11.42578125" bestFit="1" customWidth="1"/>
  </cols>
  <sheetData>
    <row r="3" spans="2:14" x14ac:dyDescent="0.25">
      <c r="M3" s="1"/>
    </row>
    <row r="4" spans="2:14" x14ac:dyDescent="0.25">
      <c r="L4" s="2"/>
      <c r="M4" s="1"/>
    </row>
    <row r="5" spans="2:14" x14ac:dyDescent="0.25">
      <c r="L5" s="2"/>
      <c r="M5" s="1">
        <v>1316632</v>
      </c>
    </row>
    <row r="6" spans="2:14" x14ac:dyDescent="0.25">
      <c r="L6" s="2"/>
      <c r="M6" s="1">
        <v>881657</v>
      </c>
    </row>
    <row r="7" spans="2:14" x14ac:dyDescent="0.25">
      <c r="L7" s="2"/>
      <c r="M7" s="1">
        <f>M5-M6</f>
        <v>434975</v>
      </c>
    </row>
    <row r="8" spans="2:14" x14ac:dyDescent="0.25">
      <c r="E8" s="2"/>
      <c r="L8" s="2"/>
      <c r="M8" s="1"/>
    </row>
    <row r="9" spans="2:14" ht="15.75" x14ac:dyDescent="0.25">
      <c r="B9" s="8" t="s">
        <v>16</v>
      </c>
      <c r="C9" s="9"/>
      <c r="D9" s="10" t="s">
        <v>7</v>
      </c>
      <c r="E9" s="16" t="s">
        <v>8</v>
      </c>
      <c r="F9" s="10" t="s">
        <v>9</v>
      </c>
      <c r="G9" s="11"/>
      <c r="H9" s="5" t="s">
        <v>17</v>
      </c>
      <c r="L9" s="2" t="s">
        <v>5</v>
      </c>
      <c r="M9" s="1">
        <v>1300704</v>
      </c>
    </row>
    <row r="10" spans="2:14" x14ac:dyDescent="0.25">
      <c r="B10" s="11"/>
      <c r="C10" s="9" t="s">
        <v>10</v>
      </c>
      <c r="D10" s="12">
        <v>-9507693</v>
      </c>
      <c r="E10" s="17">
        <v>881657</v>
      </c>
      <c r="F10" s="12">
        <f>D10+E10</f>
        <v>-8626036</v>
      </c>
      <c r="G10" s="12" t="s">
        <v>6</v>
      </c>
      <c r="L10" s="2" t="s">
        <v>1</v>
      </c>
      <c r="M10" s="1">
        <v>-881657</v>
      </c>
    </row>
    <row r="11" spans="2:14" x14ac:dyDescent="0.25">
      <c r="B11" s="11"/>
      <c r="C11" s="9"/>
      <c r="D11" s="12"/>
      <c r="E11" s="17"/>
      <c r="F11" s="12"/>
      <c r="G11" s="12"/>
      <c r="L11" s="2" t="s">
        <v>0</v>
      </c>
      <c r="M11" s="1">
        <f>M9+M10</f>
        <v>419047</v>
      </c>
    </row>
    <row r="12" spans="2:14" x14ac:dyDescent="0.25">
      <c r="B12" s="11"/>
      <c r="C12" s="9" t="s">
        <v>11</v>
      </c>
      <c r="D12" s="12"/>
      <c r="E12" s="17"/>
      <c r="F12" s="12">
        <f>1316633</f>
        <v>1316633</v>
      </c>
      <c r="G12" s="12" t="s">
        <v>6</v>
      </c>
      <c r="H12" t="s">
        <v>32</v>
      </c>
      <c r="L12" s="2"/>
      <c r="M12" s="1"/>
    </row>
    <row r="13" spans="2:14" x14ac:dyDescent="0.25">
      <c r="C13" s="2"/>
      <c r="D13" s="4"/>
      <c r="E13" s="18"/>
      <c r="F13" s="4"/>
      <c r="G13" s="4"/>
      <c r="L13" s="2"/>
      <c r="M13" s="4"/>
    </row>
    <row r="14" spans="2:14" x14ac:dyDescent="0.25">
      <c r="C14" s="2"/>
      <c r="D14" s="4"/>
      <c r="E14" s="18"/>
      <c r="F14" s="4"/>
      <c r="G14" s="4"/>
      <c r="L14" s="3" t="s">
        <v>2</v>
      </c>
      <c r="M14" s="4">
        <v>35303.4</v>
      </c>
      <c r="N14" t="s">
        <v>6</v>
      </c>
    </row>
    <row r="15" spans="2:14" ht="15.75" x14ac:dyDescent="0.25">
      <c r="B15" s="8" t="s">
        <v>12</v>
      </c>
      <c r="C15" s="9"/>
      <c r="D15" s="10" t="s">
        <v>7</v>
      </c>
      <c r="E15" s="16" t="s">
        <v>8</v>
      </c>
      <c r="F15" s="10" t="s">
        <v>9</v>
      </c>
      <c r="G15" s="12"/>
      <c r="L15" s="2" t="s">
        <v>3</v>
      </c>
      <c r="M15" s="4">
        <v>578936.24</v>
      </c>
      <c r="N15" t="s">
        <v>6</v>
      </c>
    </row>
    <row r="16" spans="2:14" x14ac:dyDescent="0.25">
      <c r="B16" s="11"/>
      <c r="C16" s="9" t="s">
        <v>10</v>
      </c>
      <c r="D16" s="12">
        <v>-9507693</v>
      </c>
      <c r="E16" s="17">
        <f>-F18</f>
        <v>-434975.37</v>
      </c>
      <c r="F16" s="12">
        <f>D16+E16</f>
        <v>-9942668.3699999992</v>
      </c>
      <c r="G16" s="12" t="s">
        <v>6</v>
      </c>
      <c r="L16" s="2" t="s">
        <v>4</v>
      </c>
      <c r="M16" s="4">
        <v>-195193</v>
      </c>
      <c r="N16" t="s">
        <v>6</v>
      </c>
    </row>
    <row r="17" spans="2:14" x14ac:dyDescent="0.25">
      <c r="B17" s="11"/>
      <c r="C17" s="9"/>
      <c r="D17" s="12"/>
      <c r="E17" s="17"/>
      <c r="F17" s="12"/>
      <c r="G17" s="12"/>
      <c r="L17" s="2" t="s">
        <v>31</v>
      </c>
      <c r="M17" s="4">
        <v>15928.73</v>
      </c>
    </row>
    <row r="18" spans="2:14" x14ac:dyDescent="0.25">
      <c r="B18" s="11"/>
      <c r="C18" s="9" t="s">
        <v>11</v>
      </c>
      <c r="D18" s="12"/>
      <c r="E18" s="17"/>
      <c r="F18" s="12">
        <f>M18</f>
        <v>434975.37</v>
      </c>
      <c r="G18" s="12" t="s">
        <v>6</v>
      </c>
      <c r="H18" t="s">
        <v>30</v>
      </c>
      <c r="J18" s="5"/>
      <c r="K18" s="5"/>
      <c r="L18" s="6" t="s">
        <v>0</v>
      </c>
      <c r="M18" s="7">
        <f>SUM(M14:M17)</f>
        <v>434975.37</v>
      </c>
      <c r="N18" t="s">
        <v>6</v>
      </c>
    </row>
    <row r="19" spans="2:14" x14ac:dyDescent="0.25">
      <c r="C19" s="2"/>
      <c r="D19" s="4"/>
      <c r="E19" s="18"/>
      <c r="F19" s="4"/>
      <c r="G19" s="4"/>
    </row>
    <row r="20" spans="2:14" ht="15.75" x14ac:dyDescent="0.25">
      <c r="B20" s="8" t="s">
        <v>20</v>
      </c>
      <c r="C20" s="21"/>
      <c r="D20" s="22" t="s">
        <v>21</v>
      </c>
      <c r="E20" s="23" t="s">
        <v>8</v>
      </c>
      <c r="F20" s="22" t="s">
        <v>22</v>
      </c>
      <c r="G20" s="12"/>
      <c r="H20" s="5" t="s">
        <v>17</v>
      </c>
    </row>
    <row r="21" spans="2:14" ht="15.75" x14ac:dyDescent="0.25">
      <c r="B21" s="8"/>
      <c r="C21" s="9"/>
      <c r="D21" s="13"/>
      <c r="E21" s="16"/>
      <c r="F21" s="13"/>
      <c r="G21" s="12"/>
      <c r="L21" s="2" t="s">
        <v>1</v>
      </c>
      <c r="M21" s="4">
        <v>881657</v>
      </c>
      <c r="N21" t="s">
        <v>6</v>
      </c>
    </row>
    <row r="22" spans="2:14" x14ac:dyDescent="0.25">
      <c r="B22" s="11"/>
      <c r="C22" s="9" t="s">
        <v>18</v>
      </c>
      <c r="D22" s="12">
        <v>-9507693</v>
      </c>
      <c r="E22" s="17">
        <v>0</v>
      </c>
      <c r="F22" s="12">
        <v>-9507693</v>
      </c>
      <c r="G22" s="12" t="s">
        <v>6</v>
      </c>
      <c r="L22" s="2" t="s">
        <v>5</v>
      </c>
      <c r="M22" s="4">
        <f>SUM(M18:M21)</f>
        <v>1316632.3700000001</v>
      </c>
      <c r="N22" t="s">
        <v>6</v>
      </c>
    </row>
    <row r="23" spans="2:14" x14ac:dyDescent="0.25">
      <c r="B23" s="11"/>
      <c r="C23" s="9" t="s">
        <v>34</v>
      </c>
      <c r="D23" s="12">
        <v>0</v>
      </c>
      <c r="E23" s="19">
        <f>-F18</f>
        <v>-434975.37</v>
      </c>
      <c r="F23" s="12">
        <f>D23+E23</f>
        <v>-434975.37</v>
      </c>
      <c r="G23" s="12" t="s">
        <v>6</v>
      </c>
      <c r="H23" t="s">
        <v>33</v>
      </c>
      <c r="L23" s="2"/>
      <c r="M23" s="4"/>
    </row>
    <row r="24" spans="2:14" x14ac:dyDescent="0.25">
      <c r="B24" s="11"/>
      <c r="C24" s="13" t="s">
        <v>19</v>
      </c>
      <c r="D24" s="14">
        <f>SUM(D22:D23)</f>
        <v>-9507693</v>
      </c>
      <c r="E24" s="14">
        <f>SUM(E22:E23)</f>
        <v>-434975.37</v>
      </c>
      <c r="F24" s="14">
        <f>SUM(F22:F23)</f>
        <v>-9942668.3699999992</v>
      </c>
      <c r="G24" s="12" t="s">
        <v>6</v>
      </c>
      <c r="L24" s="2"/>
      <c r="M24" s="4"/>
    </row>
    <row r="25" spans="2:14" x14ac:dyDescent="0.25">
      <c r="B25" s="11"/>
      <c r="C25" s="13"/>
      <c r="D25" s="14"/>
      <c r="E25" s="14"/>
      <c r="F25" s="14"/>
      <c r="G25" s="12"/>
      <c r="L25" s="2"/>
      <c r="M25" s="4"/>
    </row>
    <row r="26" spans="2:14" x14ac:dyDescent="0.25">
      <c r="B26" s="11"/>
      <c r="C26" s="25" t="s">
        <v>38</v>
      </c>
      <c r="D26" s="26"/>
      <c r="E26" s="26"/>
      <c r="F26" s="26"/>
      <c r="G26" s="12"/>
      <c r="L26" s="2"/>
      <c r="M26" s="4"/>
    </row>
    <row r="27" spans="2:14" x14ac:dyDescent="0.25">
      <c r="B27" s="11"/>
      <c r="C27" s="26"/>
      <c r="D27" s="26"/>
      <c r="E27" s="26"/>
      <c r="F27" s="26"/>
      <c r="G27" s="12"/>
      <c r="L27" s="2"/>
      <c r="M27" s="4"/>
    </row>
    <row r="28" spans="2:14" x14ac:dyDescent="0.25">
      <c r="B28" s="11"/>
      <c r="C28" s="20"/>
      <c r="D28" s="20"/>
      <c r="E28" s="20"/>
      <c r="F28" s="20"/>
      <c r="G28" s="12"/>
      <c r="L28" s="2"/>
      <c r="M28" s="4"/>
    </row>
    <row r="29" spans="2:14" x14ac:dyDescent="0.25">
      <c r="B29" s="11"/>
      <c r="C29" s="9" t="s">
        <v>14</v>
      </c>
      <c r="D29" s="12"/>
      <c r="E29" s="19"/>
      <c r="F29" s="12">
        <f>-113186</f>
        <v>-113186</v>
      </c>
      <c r="G29" s="12" t="s">
        <v>6</v>
      </c>
      <c r="L29" s="2"/>
      <c r="M29" s="4"/>
    </row>
    <row r="30" spans="2:14" x14ac:dyDescent="0.25">
      <c r="B30" s="11"/>
      <c r="C30" s="9"/>
      <c r="D30" s="12"/>
      <c r="E30" s="19"/>
      <c r="F30" s="12"/>
      <c r="G30" s="12"/>
      <c r="L30" s="2"/>
    </row>
    <row r="31" spans="2:14" x14ac:dyDescent="0.25">
      <c r="B31" s="11"/>
      <c r="C31" s="13" t="s">
        <v>13</v>
      </c>
      <c r="D31" s="15"/>
      <c r="E31" s="13"/>
      <c r="F31" s="14">
        <f>SUM(F24:F30)</f>
        <v>-10055854.369999999</v>
      </c>
      <c r="G31" s="12" t="s">
        <v>6</v>
      </c>
      <c r="L31" s="2"/>
    </row>
    <row r="32" spans="2:14" x14ac:dyDescent="0.25">
      <c r="C32" s="2"/>
      <c r="E32" s="2"/>
    </row>
    <row r="33" spans="2:8" hidden="1" x14ac:dyDescent="0.25">
      <c r="B33" s="11"/>
      <c r="C33" s="9" t="s">
        <v>15</v>
      </c>
      <c r="D33" s="11"/>
      <c r="E33" s="11"/>
      <c r="F33" s="12">
        <f>10055854+F31</f>
        <v>-0.36999999918043613</v>
      </c>
      <c r="G33" s="11" t="s">
        <v>6</v>
      </c>
      <c r="H33" t="s">
        <v>29</v>
      </c>
    </row>
    <row r="35" spans="2:8" x14ac:dyDescent="0.25">
      <c r="B35" s="15" t="s">
        <v>37</v>
      </c>
      <c r="C35" s="11"/>
      <c r="D35" s="11"/>
      <c r="E35" s="11"/>
      <c r="F35" s="11"/>
    </row>
    <row r="36" spans="2:8" ht="7.5" customHeight="1" x14ac:dyDescent="0.25">
      <c r="B36" s="15"/>
      <c r="C36" s="11"/>
      <c r="D36" s="11"/>
      <c r="E36" s="11"/>
      <c r="F36" s="11"/>
    </row>
    <row r="37" spans="2:8" ht="15.75" x14ac:dyDescent="0.25">
      <c r="B37" s="11"/>
      <c r="C37" s="8" t="s">
        <v>27</v>
      </c>
      <c r="D37" s="11"/>
      <c r="E37" s="11"/>
      <c r="F37" s="11"/>
    </row>
    <row r="38" spans="2:8" ht="8.25" customHeight="1" x14ac:dyDescent="0.25">
      <c r="B38" s="11"/>
      <c r="C38" s="11"/>
      <c r="D38" s="11"/>
      <c r="E38" s="11"/>
      <c r="F38" s="11"/>
    </row>
    <row r="39" spans="2:8" x14ac:dyDescent="0.25">
      <c r="B39" s="11"/>
      <c r="C39" s="15" t="s">
        <v>23</v>
      </c>
      <c r="D39" s="24" t="s">
        <v>26</v>
      </c>
      <c r="E39" s="11"/>
      <c r="F39" s="11"/>
    </row>
    <row r="40" spans="2:8" x14ac:dyDescent="0.25">
      <c r="B40" s="11"/>
      <c r="C40" s="11" t="s">
        <v>28</v>
      </c>
      <c r="D40" s="12">
        <v>9507693</v>
      </c>
      <c r="E40" s="11"/>
      <c r="F40" s="11"/>
    </row>
    <row r="41" spans="2:8" x14ac:dyDescent="0.25">
      <c r="B41" s="11"/>
      <c r="C41" s="11" t="s">
        <v>24</v>
      </c>
      <c r="D41" s="12">
        <f>F18</f>
        <v>434975.37</v>
      </c>
      <c r="E41" s="11"/>
      <c r="F41" s="11"/>
    </row>
    <row r="42" spans="2:8" x14ac:dyDescent="0.25">
      <c r="B42" s="11"/>
      <c r="C42" s="15" t="s">
        <v>25</v>
      </c>
      <c r="D42" s="14">
        <f>SUM(D40:D41)</f>
        <v>9942668.3699999992</v>
      </c>
      <c r="E42" s="11"/>
      <c r="F42" s="11"/>
    </row>
    <row r="43" spans="2:8" x14ac:dyDescent="0.25">
      <c r="B43" s="11"/>
      <c r="C43" s="11"/>
      <c r="D43" s="11"/>
      <c r="E43" s="11"/>
      <c r="F43" s="11"/>
    </row>
    <row r="44" spans="2:8" x14ac:dyDescent="0.25">
      <c r="B44" s="11"/>
      <c r="C44" s="15" t="s">
        <v>35</v>
      </c>
      <c r="D44" s="11"/>
      <c r="E44" s="11"/>
      <c r="F44" s="11"/>
    </row>
    <row r="45" spans="2:8" x14ac:dyDescent="0.25">
      <c r="B45" s="11"/>
      <c r="C45" s="11" t="s">
        <v>36</v>
      </c>
      <c r="D45" s="11"/>
      <c r="E45" s="11"/>
      <c r="F45" s="11"/>
    </row>
  </sheetData>
  <sheetProtection sheet="1" objects="1" scenarios="1"/>
  <mergeCells count="1">
    <mergeCell ref="C26:F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A386F-145E-494F-8F9B-8833E25F5D8C}">
  <dimension ref="B3:N59"/>
  <sheetViews>
    <sheetView tabSelected="1" topLeftCell="A25" workbookViewId="0">
      <selection activeCell="J52" sqref="J52"/>
    </sheetView>
  </sheetViews>
  <sheetFormatPr defaultRowHeight="15" x14ac:dyDescent="0.25"/>
  <cols>
    <col min="3" max="3" width="42.28515625" customWidth="1"/>
    <col min="4" max="4" width="11.42578125" customWidth="1"/>
    <col min="5" max="5" width="14.7109375" customWidth="1"/>
    <col min="6" max="6" width="15.28515625" customWidth="1"/>
    <col min="7" max="7" width="4.7109375" customWidth="1"/>
    <col min="8" max="8" width="43.42578125" customWidth="1"/>
    <col min="10" max="10" width="24.5703125" customWidth="1"/>
    <col min="12" max="12" width="10.42578125" bestFit="1" customWidth="1"/>
    <col min="13" max="13" width="11.42578125" bestFit="1" customWidth="1"/>
  </cols>
  <sheetData>
    <row r="3" spans="2:14" x14ac:dyDescent="0.25">
      <c r="M3" s="1"/>
    </row>
    <row r="4" spans="2:14" x14ac:dyDescent="0.25">
      <c r="L4" s="2"/>
      <c r="M4" s="1"/>
    </row>
    <row r="5" spans="2:14" x14ac:dyDescent="0.25">
      <c r="L5" s="2"/>
      <c r="M5" s="1">
        <v>1316632</v>
      </c>
    </row>
    <row r="6" spans="2:14" x14ac:dyDescent="0.25">
      <c r="L6" s="2"/>
      <c r="M6" s="1">
        <v>881657</v>
      </c>
    </row>
    <row r="7" spans="2:14" x14ac:dyDescent="0.25">
      <c r="L7" s="2"/>
      <c r="M7" s="1">
        <f>M5-M6</f>
        <v>434975</v>
      </c>
    </row>
    <row r="8" spans="2:14" x14ac:dyDescent="0.25">
      <c r="E8" s="2"/>
      <c r="L8" s="2"/>
      <c r="M8" s="1"/>
    </row>
    <row r="9" spans="2:14" ht="15.75" x14ac:dyDescent="0.25">
      <c r="B9" s="8" t="s">
        <v>16</v>
      </c>
      <c r="C9" s="9"/>
      <c r="D9" s="10" t="s">
        <v>7</v>
      </c>
      <c r="E9" s="16" t="s">
        <v>8</v>
      </c>
      <c r="F9" s="10" t="s">
        <v>9</v>
      </c>
      <c r="G9" s="11"/>
      <c r="H9" s="5" t="s">
        <v>17</v>
      </c>
      <c r="L9" s="2" t="s">
        <v>5</v>
      </c>
      <c r="M9" s="1">
        <v>1300704</v>
      </c>
    </row>
    <row r="10" spans="2:14" x14ac:dyDescent="0.25">
      <c r="B10" s="11"/>
      <c r="C10" s="9" t="s">
        <v>10</v>
      </c>
      <c r="D10" s="12">
        <v>-9507693</v>
      </c>
      <c r="E10" s="17">
        <v>881657</v>
      </c>
      <c r="F10" s="12">
        <f>D10+E10</f>
        <v>-8626036</v>
      </c>
      <c r="G10" s="12" t="s">
        <v>6</v>
      </c>
      <c r="L10" s="2" t="s">
        <v>1</v>
      </c>
      <c r="M10" s="1">
        <v>-881657</v>
      </c>
    </row>
    <row r="11" spans="2:14" x14ac:dyDescent="0.25">
      <c r="B11" s="11"/>
      <c r="C11" s="9"/>
      <c r="D11" s="12"/>
      <c r="E11" s="17"/>
      <c r="F11" s="12"/>
      <c r="G11" s="12"/>
      <c r="L11" s="2" t="s">
        <v>0</v>
      </c>
      <c r="M11" s="1">
        <f>M9+M10</f>
        <v>419047</v>
      </c>
    </row>
    <row r="12" spans="2:14" x14ac:dyDescent="0.25">
      <c r="B12" s="11"/>
      <c r="C12" s="9" t="s">
        <v>11</v>
      </c>
      <c r="D12" s="12"/>
      <c r="E12" s="17"/>
      <c r="F12" s="12">
        <f>1316633</f>
        <v>1316633</v>
      </c>
      <c r="G12" s="12" t="s">
        <v>6</v>
      </c>
      <c r="H12" t="s">
        <v>32</v>
      </c>
      <c r="L12" s="2"/>
      <c r="M12" s="1"/>
    </row>
    <row r="13" spans="2:14" x14ac:dyDescent="0.25">
      <c r="C13" s="2"/>
      <c r="D13" s="4"/>
      <c r="E13" s="18"/>
      <c r="F13" s="4"/>
      <c r="G13" s="4"/>
      <c r="L13" s="2"/>
      <c r="M13" s="4"/>
    </row>
    <row r="14" spans="2:14" x14ac:dyDescent="0.25">
      <c r="C14" s="2"/>
      <c r="D14" s="4"/>
      <c r="E14" s="18"/>
      <c r="F14" s="4"/>
      <c r="G14" s="4"/>
      <c r="L14" s="3" t="s">
        <v>2</v>
      </c>
      <c r="M14" s="4">
        <v>35303.4</v>
      </c>
      <c r="N14" t="s">
        <v>6</v>
      </c>
    </row>
    <row r="15" spans="2:14" ht="15.75" x14ac:dyDescent="0.25">
      <c r="B15" s="8" t="s">
        <v>12</v>
      </c>
      <c r="C15" s="9"/>
      <c r="D15" s="10" t="s">
        <v>7</v>
      </c>
      <c r="E15" s="16" t="s">
        <v>8</v>
      </c>
      <c r="F15" s="10" t="s">
        <v>9</v>
      </c>
      <c r="G15" s="12"/>
      <c r="L15" s="2" t="s">
        <v>3</v>
      </c>
      <c r="M15" s="4">
        <v>578936.24</v>
      </c>
      <c r="N15" t="s">
        <v>6</v>
      </c>
    </row>
    <row r="16" spans="2:14" x14ac:dyDescent="0.25">
      <c r="B16" s="11"/>
      <c r="C16" s="9" t="s">
        <v>10</v>
      </c>
      <c r="D16" s="12">
        <v>-9507693</v>
      </c>
      <c r="E16" s="17">
        <f>-F18</f>
        <v>-434975.37</v>
      </c>
      <c r="F16" s="12">
        <f>D16+E16</f>
        <v>-9942668.3699999992</v>
      </c>
      <c r="G16" s="12" t="s">
        <v>6</v>
      </c>
      <c r="L16" s="2" t="s">
        <v>4</v>
      </c>
      <c r="M16" s="4">
        <v>-195193</v>
      </c>
      <c r="N16" t="s">
        <v>6</v>
      </c>
    </row>
    <row r="17" spans="2:14" x14ac:dyDescent="0.25">
      <c r="B17" s="11"/>
      <c r="C17" s="9"/>
      <c r="D17" s="12"/>
      <c r="E17" s="17"/>
      <c r="F17" s="12"/>
      <c r="G17" s="12"/>
      <c r="L17" s="2" t="s">
        <v>31</v>
      </c>
      <c r="M17" s="4">
        <v>15928.73</v>
      </c>
    </row>
    <row r="18" spans="2:14" x14ac:dyDescent="0.25">
      <c r="B18" s="11"/>
      <c r="C18" s="9" t="s">
        <v>11</v>
      </c>
      <c r="D18" s="12"/>
      <c r="E18" s="17"/>
      <c r="F18" s="12">
        <f>M18</f>
        <v>434975.37</v>
      </c>
      <c r="G18" s="12" t="s">
        <v>6</v>
      </c>
      <c r="H18" t="s">
        <v>30</v>
      </c>
      <c r="J18" s="5"/>
      <c r="K18" s="5"/>
      <c r="L18" s="6" t="s">
        <v>0</v>
      </c>
      <c r="M18" s="7">
        <f>SUM(M14:M17)</f>
        <v>434975.37</v>
      </c>
      <c r="N18" t="s">
        <v>6</v>
      </c>
    </row>
    <row r="19" spans="2:14" x14ac:dyDescent="0.25">
      <c r="C19" s="2"/>
      <c r="D19" s="4"/>
      <c r="E19" s="18"/>
      <c r="F19" s="4"/>
      <c r="G19" s="4"/>
    </row>
    <row r="20" spans="2:14" ht="15.75" x14ac:dyDescent="0.25">
      <c r="B20" s="8" t="s">
        <v>20</v>
      </c>
      <c r="C20" s="21"/>
      <c r="D20" s="22" t="s">
        <v>21</v>
      </c>
      <c r="E20" s="23" t="s">
        <v>8</v>
      </c>
      <c r="F20" s="22" t="s">
        <v>22</v>
      </c>
      <c r="G20" s="12"/>
      <c r="H20" s="5" t="s">
        <v>17</v>
      </c>
    </row>
    <row r="21" spans="2:14" ht="15.75" x14ac:dyDescent="0.25">
      <c r="B21" s="8"/>
      <c r="C21" s="9"/>
      <c r="D21" s="13"/>
      <c r="E21" s="16"/>
      <c r="F21" s="13"/>
      <c r="G21" s="12"/>
      <c r="L21" s="2" t="s">
        <v>1</v>
      </c>
      <c r="M21" s="4">
        <v>881657</v>
      </c>
      <c r="N21" t="s">
        <v>6</v>
      </c>
    </row>
    <row r="22" spans="2:14" x14ac:dyDescent="0.25">
      <c r="B22" s="11"/>
      <c r="C22" s="9" t="s">
        <v>18</v>
      </c>
      <c r="D22" s="12">
        <v>-9507693</v>
      </c>
      <c r="E22" s="17">
        <v>0</v>
      </c>
      <c r="F22" s="12">
        <v>-9507693</v>
      </c>
      <c r="G22" s="12" t="s">
        <v>6</v>
      </c>
      <c r="L22" s="2" t="s">
        <v>5</v>
      </c>
      <c r="M22" s="4">
        <f>SUM(M18:M21)</f>
        <v>1316632.3700000001</v>
      </c>
      <c r="N22" t="s">
        <v>6</v>
      </c>
    </row>
    <row r="23" spans="2:14" x14ac:dyDescent="0.25">
      <c r="B23" s="11"/>
      <c r="C23" s="9" t="s">
        <v>34</v>
      </c>
      <c r="D23" s="12">
        <v>0</v>
      </c>
      <c r="E23" s="19">
        <f>-F18</f>
        <v>-434975.37</v>
      </c>
      <c r="F23" s="12">
        <f>D23+E23</f>
        <v>-434975.37</v>
      </c>
      <c r="G23" s="12" t="s">
        <v>6</v>
      </c>
      <c r="H23" t="s">
        <v>33</v>
      </c>
      <c r="L23" s="2"/>
      <c r="M23" s="4"/>
    </row>
    <row r="24" spans="2:14" x14ac:dyDescent="0.25">
      <c r="B24" s="11"/>
      <c r="C24" s="13" t="s">
        <v>19</v>
      </c>
      <c r="D24" s="14">
        <f>SUM(D22:D23)</f>
        <v>-9507693</v>
      </c>
      <c r="E24" s="14">
        <f>SUM(E22:E23)</f>
        <v>-434975.37</v>
      </c>
      <c r="F24" s="14">
        <f>SUM(F22:F23)</f>
        <v>-9942668.3699999992</v>
      </c>
      <c r="G24" s="12" t="s">
        <v>6</v>
      </c>
      <c r="L24" s="2"/>
      <c r="M24" s="4"/>
    </row>
    <row r="25" spans="2:14" x14ac:dyDescent="0.25">
      <c r="B25" s="11"/>
      <c r="C25" s="13"/>
      <c r="D25" s="14"/>
      <c r="E25" s="14"/>
      <c r="F25" s="14"/>
      <c r="G25" s="12"/>
      <c r="L25" s="2"/>
      <c r="M25" s="4"/>
    </row>
    <row r="26" spans="2:14" x14ac:dyDescent="0.25">
      <c r="B26" s="11"/>
      <c r="C26" s="25" t="s">
        <v>38</v>
      </c>
      <c r="D26" s="26"/>
      <c r="E26" s="26"/>
      <c r="F26" s="26"/>
      <c r="G26" s="12"/>
      <c r="L26" s="2"/>
      <c r="M26" s="4"/>
    </row>
    <row r="27" spans="2:14" x14ac:dyDescent="0.25">
      <c r="B27" s="11"/>
      <c r="C27" s="26"/>
      <c r="D27" s="26"/>
      <c r="E27" s="26"/>
      <c r="F27" s="26"/>
      <c r="G27" s="12"/>
      <c r="L27" s="2"/>
      <c r="M27" s="4"/>
    </row>
    <row r="28" spans="2:14" x14ac:dyDescent="0.25">
      <c r="B28" s="11"/>
      <c r="C28" s="20"/>
      <c r="D28" s="20"/>
      <c r="E28" s="20"/>
      <c r="F28" s="20"/>
      <c r="G28" s="12"/>
      <c r="L28" s="2"/>
      <c r="M28" s="4"/>
    </row>
    <row r="29" spans="2:14" x14ac:dyDescent="0.25">
      <c r="B29" s="11"/>
      <c r="C29" s="9" t="s">
        <v>14</v>
      </c>
      <c r="D29" s="12"/>
      <c r="E29" s="19"/>
      <c r="F29" s="12">
        <f>-113186</f>
        <v>-113186</v>
      </c>
      <c r="G29" s="12" t="s">
        <v>6</v>
      </c>
      <c r="L29" s="2"/>
      <c r="M29" s="4"/>
    </row>
    <row r="30" spans="2:14" x14ac:dyDescent="0.25">
      <c r="B30" s="11"/>
      <c r="C30" s="9"/>
      <c r="D30" s="12"/>
      <c r="E30" s="19"/>
      <c r="F30" s="12"/>
      <c r="G30" s="12"/>
      <c r="L30" s="2"/>
    </row>
    <row r="31" spans="2:14" x14ac:dyDescent="0.25">
      <c r="B31" s="11"/>
      <c r="C31" s="13" t="s">
        <v>13</v>
      </c>
      <c r="D31" s="15"/>
      <c r="E31" s="13"/>
      <c r="F31" s="14">
        <f>SUM(F24:F30)</f>
        <v>-10055854.369999999</v>
      </c>
      <c r="G31" s="12" t="s">
        <v>6</v>
      </c>
      <c r="L31" s="2"/>
    </row>
    <row r="32" spans="2:14" x14ac:dyDescent="0.25">
      <c r="C32" s="2"/>
      <c r="E32" s="2"/>
    </row>
    <row r="33" spans="2:8" hidden="1" x14ac:dyDescent="0.25">
      <c r="B33" s="11"/>
      <c r="C33" s="9" t="s">
        <v>15</v>
      </c>
      <c r="D33" s="11"/>
      <c r="E33" s="11"/>
      <c r="F33" s="12">
        <f>10055854+F31</f>
        <v>-0.36999999918043613</v>
      </c>
      <c r="G33" s="11" t="s">
        <v>6</v>
      </c>
      <c r="H33" t="s">
        <v>29</v>
      </c>
    </row>
    <row r="35" spans="2:8" x14ac:dyDescent="0.25">
      <c r="B35" s="15" t="s">
        <v>37</v>
      </c>
      <c r="C35" s="11"/>
      <c r="D35" s="11"/>
      <c r="E35" s="11"/>
      <c r="F35" s="11"/>
    </row>
    <row r="36" spans="2:8" ht="7.5" customHeight="1" x14ac:dyDescent="0.25">
      <c r="B36" s="15"/>
      <c r="C36" s="11"/>
      <c r="D36" s="11"/>
      <c r="E36" s="11"/>
      <c r="F36" s="11"/>
    </row>
    <row r="37" spans="2:8" ht="15.75" x14ac:dyDescent="0.25">
      <c r="B37" s="11"/>
      <c r="C37" s="8" t="s">
        <v>27</v>
      </c>
      <c r="D37" s="11"/>
      <c r="E37" s="11"/>
      <c r="F37" s="11"/>
    </row>
    <row r="38" spans="2:8" ht="8.25" customHeight="1" x14ac:dyDescent="0.25">
      <c r="B38" s="11"/>
      <c r="C38" s="11"/>
      <c r="D38" s="11"/>
      <c r="E38" s="11"/>
      <c r="F38" s="11"/>
    </row>
    <row r="39" spans="2:8" x14ac:dyDescent="0.25">
      <c r="B39" s="11"/>
      <c r="C39" s="15" t="s">
        <v>23</v>
      </c>
      <c r="D39" s="24" t="s">
        <v>26</v>
      </c>
      <c r="E39" s="11"/>
      <c r="F39" s="11"/>
    </row>
    <row r="40" spans="2:8" x14ac:dyDescent="0.25">
      <c r="B40" s="11"/>
      <c r="C40" s="11" t="s">
        <v>28</v>
      </c>
      <c r="D40" s="12">
        <v>9507693</v>
      </c>
      <c r="E40" s="11"/>
      <c r="F40" s="11"/>
    </row>
    <row r="41" spans="2:8" x14ac:dyDescent="0.25">
      <c r="B41" s="11"/>
      <c r="C41" s="11" t="s">
        <v>24</v>
      </c>
      <c r="D41" s="12">
        <f>F18</f>
        <v>434975.37</v>
      </c>
      <c r="E41" s="11"/>
      <c r="F41" s="11"/>
    </row>
    <row r="42" spans="2:8" x14ac:dyDescent="0.25">
      <c r="B42" s="11"/>
      <c r="C42" s="15" t="s">
        <v>25</v>
      </c>
      <c r="D42" s="14">
        <f>SUM(D40:D41)</f>
        <v>9942668.3699999992</v>
      </c>
      <c r="E42" s="11"/>
      <c r="F42" s="11"/>
    </row>
    <row r="43" spans="2:8" x14ac:dyDescent="0.25">
      <c r="B43" s="11"/>
      <c r="C43" s="11"/>
      <c r="D43" s="11"/>
      <c r="E43" s="11"/>
      <c r="F43" s="11"/>
    </row>
    <row r="44" spans="2:8" x14ac:dyDescent="0.25">
      <c r="B44" s="11"/>
      <c r="C44" s="15" t="s">
        <v>35</v>
      </c>
      <c r="D44" s="11"/>
      <c r="E44" s="11"/>
      <c r="F44" s="11"/>
    </row>
    <row r="45" spans="2:8" x14ac:dyDescent="0.25">
      <c r="B45" s="11"/>
      <c r="C45" s="11" t="s">
        <v>36</v>
      </c>
      <c r="D45" s="11"/>
      <c r="E45" s="11"/>
      <c r="F45" s="11"/>
    </row>
    <row r="49" spans="2:14" x14ac:dyDescent="0.25">
      <c r="B49" s="15" t="s">
        <v>37</v>
      </c>
      <c r="C49" s="11"/>
      <c r="D49" s="11"/>
      <c r="E49" s="11"/>
      <c r="F49" s="11"/>
    </row>
    <row r="50" spans="2:14" x14ac:dyDescent="0.25">
      <c r="B50" s="15"/>
      <c r="C50" s="11"/>
      <c r="D50" s="11"/>
      <c r="E50" s="11"/>
      <c r="F50" s="11"/>
      <c r="J50" s="2"/>
      <c r="L50" s="28">
        <v>46138</v>
      </c>
      <c r="M50" s="28">
        <v>46139</v>
      </c>
    </row>
    <row r="51" spans="2:14" ht="15.75" x14ac:dyDescent="0.25">
      <c r="B51" s="11"/>
      <c r="C51" s="8" t="s">
        <v>27</v>
      </c>
      <c r="D51" s="11"/>
      <c r="E51" s="11"/>
      <c r="F51" s="11"/>
      <c r="J51" s="2" t="s">
        <v>43</v>
      </c>
      <c r="K51" s="2" t="s">
        <v>40</v>
      </c>
      <c r="L51" s="4">
        <v>444505</v>
      </c>
      <c r="M51" s="4">
        <v>451336.33</v>
      </c>
      <c r="N51" s="4">
        <f>M51-L51</f>
        <v>6831.3300000000163</v>
      </c>
    </row>
    <row r="52" spans="2:14" x14ac:dyDescent="0.25">
      <c r="B52" s="11"/>
      <c r="C52" s="11"/>
      <c r="D52" s="27">
        <v>46138</v>
      </c>
      <c r="E52" s="11"/>
      <c r="F52" s="27">
        <v>46139</v>
      </c>
      <c r="H52" s="2" t="s">
        <v>39</v>
      </c>
      <c r="J52" s="2" t="s">
        <v>42</v>
      </c>
      <c r="K52" s="2" t="s">
        <v>41</v>
      </c>
      <c r="L52" s="4">
        <v>8632426.8900000006</v>
      </c>
      <c r="M52" s="4">
        <v>8845883.5199999996</v>
      </c>
      <c r="N52" s="4">
        <f>M52-L52</f>
        <v>213456.62999999896</v>
      </c>
    </row>
    <row r="53" spans="2:14" x14ac:dyDescent="0.25">
      <c r="B53" s="11"/>
      <c r="C53" s="15" t="s">
        <v>23</v>
      </c>
      <c r="D53" s="24" t="s">
        <v>26</v>
      </c>
      <c r="E53" s="11"/>
      <c r="F53" s="24" t="s">
        <v>26</v>
      </c>
      <c r="J53" s="2"/>
      <c r="K53" s="2"/>
      <c r="L53" s="4"/>
      <c r="M53" s="4"/>
      <c r="N53" s="7">
        <f>SUM(N51:N52)</f>
        <v>220287.95999999897</v>
      </c>
    </row>
    <row r="54" spans="2:14" x14ac:dyDescent="0.25">
      <c r="B54" s="11"/>
      <c r="C54" s="11" t="s">
        <v>28</v>
      </c>
      <c r="D54" s="12">
        <v>9507693</v>
      </c>
      <c r="E54" s="11"/>
      <c r="F54" s="12">
        <v>9507693</v>
      </c>
      <c r="J54" s="2"/>
    </row>
    <row r="55" spans="2:14" x14ac:dyDescent="0.25">
      <c r="B55" s="11"/>
      <c r="C55" s="11" t="s">
        <v>24</v>
      </c>
      <c r="D55" s="12">
        <f>424975.37</f>
        <v>424975.37</v>
      </c>
      <c r="E55" s="11"/>
      <c r="F55" s="12">
        <f>645262.92</f>
        <v>645262.92000000004</v>
      </c>
      <c r="H55" s="1">
        <f>F55-D55</f>
        <v>220287.55000000005</v>
      </c>
      <c r="J55" s="2"/>
    </row>
    <row r="56" spans="2:14" x14ac:dyDescent="0.25">
      <c r="B56" s="11"/>
      <c r="C56" s="15" t="s">
        <v>25</v>
      </c>
      <c r="D56" s="14">
        <f>SUM(D54:D55)</f>
        <v>9932668.3699999992</v>
      </c>
      <c r="E56" s="11"/>
      <c r="F56" s="14">
        <f>SUM(F54:F55)</f>
        <v>10152955.92</v>
      </c>
    </row>
    <row r="57" spans="2:14" x14ac:dyDescent="0.25">
      <c r="B57" s="11"/>
      <c r="C57" s="11"/>
      <c r="D57" s="11"/>
      <c r="E57" s="11"/>
      <c r="F57" s="11"/>
    </row>
    <row r="58" spans="2:14" x14ac:dyDescent="0.25">
      <c r="B58" s="11"/>
      <c r="C58" s="15" t="s">
        <v>35</v>
      </c>
      <c r="D58" s="11"/>
      <c r="E58" s="11"/>
      <c r="F58" s="11"/>
    </row>
    <row r="59" spans="2:14" x14ac:dyDescent="0.25">
      <c r="B59" s="11"/>
      <c r="C59" s="11" t="s">
        <v>36</v>
      </c>
      <c r="D59" s="11"/>
      <c r="E59" s="11"/>
      <c r="F59" s="11"/>
    </row>
  </sheetData>
  <mergeCells count="1">
    <mergeCell ref="C26:F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Blad1</vt:lpstr>
      <vt:lpstr>260427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 Lundgren</dc:creator>
  <cp:lastModifiedBy>Kent Lundgren</cp:lastModifiedBy>
  <dcterms:created xsi:type="dcterms:W3CDTF">2026-04-08T20:21:48Z</dcterms:created>
  <dcterms:modified xsi:type="dcterms:W3CDTF">2026-04-27T17:26:32Z</dcterms:modified>
</cp:coreProperties>
</file>